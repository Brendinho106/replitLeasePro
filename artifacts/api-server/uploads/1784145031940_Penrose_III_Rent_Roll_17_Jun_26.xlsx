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888058-my.sharepoint.com/personal/james_palmer_fortressrp_com/Documents/Fortress Palmer/Agency Leasing/Zumot Real Estate Management/Penrose 3/Rent Roll/"/>
    </mc:Choice>
  </mc:AlternateContent>
  <xr:revisionPtr revIDLastSave="0" documentId="8_{9669C78E-E9C1-4F38-B369-7CAEAD8928D2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Rent Roll" sheetId="1" r:id="rId1"/>
    <sheet name="Rents Extend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R15" i="1"/>
  <c r="E13" i="1"/>
  <c r="J15" i="1"/>
  <c r="J14" i="1"/>
  <c r="R14" i="1" s="1"/>
  <c r="L15" i="1"/>
  <c r="M15" i="1" s="1"/>
  <c r="N15" i="1" s="1"/>
  <c r="O15" i="1" s="1"/>
  <c r="P15" i="1" s="1"/>
  <c r="L14" i="1"/>
  <c r="M14" i="1" s="1"/>
  <c r="N14" i="1" s="1"/>
  <c r="O14" i="1" s="1"/>
  <c r="P14" i="1" s="1"/>
  <c r="J20" i="1"/>
  <c r="R20" i="1" s="1"/>
  <c r="J18" i="1"/>
  <c r="J16" i="1"/>
  <c r="R16" i="1" s="1"/>
  <c r="J12" i="1"/>
  <c r="Q12" i="1" s="1"/>
  <c r="J11" i="1"/>
  <c r="R11" i="1" s="1"/>
  <c r="J10" i="1"/>
  <c r="Q10" i="1" s="1"/>
  <c r="J9" i="1"/>
  <c r="Q9" i="1" s="1"/>
  <c r="J8" i="1"/>
  <c r="R8" i="1" s="1"/>
  <c r="J7" i="1"/>
  <c r="R7" i="1" s="1"/>
  <c r="J6" i="1"/>
  <c r="R6" i="1" s="1"/>
  <c r="O18" i="1"/>
  <c r="O7" i="1"/>
  <c r="F12" i="1"/>
  <c r="L11" i="1"/>
  <c r="M11" i="1" s="1"/>
  <c r="F20" i="1"/>
  <c r="F16" i="1"/>
  <c r="F14" i="1"/>
  <c r="F11" i="1"/>
  <c r="F10" i="1"/>
  <c r="F9" i="1"/>
  <c r="F8" i="1"/>
  <c r="F7" i="1"/>
  <c r="F6" i="1"/>
  <c r="E17" i="1"/>
  <c r="V27" i="1"/>
  <c r="V29" i="1" s="1"/>
  <c r="E21" i="1"/>
  <c r="Q7" i="1" l="1"/>
  <c r="Q8" i="1"/>
  <c r="Q11" i="1"/>
  <c r="Q14" i="1"/>
  <c r="Q16" i="1"/>
  <c r="Q20" i="1"/>
  <c r="R9" i="1"/>
  <c r="R10" i="1"/>
  <c r="R12" i="1"/>
  <c r="Q6" i="1"/>
  <c r="R18" i="1"/>
  <c r="Q18" i="1"/>
  <c r="E19" i="1"/>
  <c r="D22" i="1"/>
  <c r="F15" i="1" s="1"/>
  <c r="F18" i="1"/>
  <c r="F22" i="1" l="1"/>
  <c r="Q22" i="1"/>
  <c r="R22" i="1"/>
  <c r="J22" i="1" s="1"/>
</calcChain>
</file>

<file path=xl/sharedStrings.xml><?xml version="1.0" encoding="utf-8"?>
<sst xmlns="http://schemas.openxmlformats.org/spreadsheetml/2006/main" count="82" uniqueCount="49">
  <si>
    <t>Monthly</t>
  </si>
  <si>
    <t>Annual</t>
  </si>
  <si>
    <t>Suite</t>
  </si>
  <si>
    <t>Tenant</t>
  </si>
  <si>
    <t>Sq. Ft.</t>
  </si>
  <si>
    <t>Lease</t>
  </si>
  <si>
    <t>% of Bldg.</t>
  </si>
  <si>
    <t>Base Year</t>
  </si>
  <si>
    <t>Comm.</t>
  </si>
  <si>
    <t xml:space="preserve">Expiration </t>
  </si>
  <si>
    <t>Rent/SF</t>
  </si>
  <si>
    <t>Rent</t>
  </si>
  <si>
    <t>Sign Rights</t>
  </si>
  <si>
    <t>Penrose III</t>
  </si>
  <si>
    <t>50 SF southern end facing Rt 28 at $.50/SF</t>
  </si>
  <si>
    <t>220A</t>
  </si>
  <si>
    <t>Palladian Title, LLC</t>
  </si>
  <si>
    <t>84 feet</t>
  </si>
  <si>
    <t>Vesta Settlements, LLC</t>
  </si>
  <si>
    <t>Elluminate</t>
  </si>
  <si>
    <t>SC3</t>
  </si>
  <si>
    <t>Red Lattice</t>
  </si>
  <si>
    <t>SPA</t>
  </si>
  <si>
    <t>70 SF facing Rt 28</t>
  </si>
  <si>
    <t>Total Occupancy</t>
  </si>
  <si>
    <t xml:space="preserve"> </t>
  </si>
  <si>
    <t>first 100</t>
  </si>
  <si>
    <t>next 111</t>
  </si>
  <si>
    <t>taken</t>
  </si>
  <si>
    <t>left</t>
  </si>
  <si>
    <t>allotted to Ultisat</t>
  </si>
  <si>
    <t>for Redwire</t>
  </si>
  <si>
    <t xml:space="preserve">      </t>
  </si>
  <si>
    <t xml:space="preserve">Rents Extended </t>
  </si>
  <si>
    <t>SF</t>
  </si>
  <si>
    <t>Vacant</t>
  </si>
  <si>
    <t>Palladin Title, LLC</t>
  </si>
  <si>
    <t>Vesta Settlements</t>
  </si>
  <si>
    <t>Omega Engineering</t>
  </si>
  <si>
    <t xml:space="preserve">Keller Williams </t>
  </si>
  <si>
    <t>BRMi</t>
  </si>
  <si>
    <t>Whereoware</t>
  </si>
  <si>
    <t>Credence Mgt Solutions</t>
  </si>
  <si>
    <t>Alpine Methods</t>
  </si>
  <si>
    <t>410/420</t>
  </si>
  <si>
    <t>Battelle</t>
  </si>
  <si>
    <t>Redwire</t>
  </si>
  <si>
    <t>Parsons</t>
  </si>
  <si>
    <t>County Approved Sign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</si>
</sst>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_([$$-409]* #,##0.00_);_([$$-409]* \(#,##0.00\);_([$$-409]* &quot;-&quot;??_);_(@_)"/>
    <numFmt numFmtId="169" formatCode="_(&quot;$&quot;* #,##0.0000_);_(&quot;$&quot;* \(#,##0.0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i/>
      <sz val="12"/>
      <color indexed="9"/>
      <name val="Arial"/>
      <family val="2"/>
    </font>
    <font>
      <b/>
      <u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164" fontId="3" fillId="0" borderId="0" xfId="2" applyNumberFormat="1" applyFont="1" applyFill="1" applyBorder="1" applyAlignment="1">
      <alignment horizontal="center"/>
    </xf>
    <xf numFmtId="10" fontId="3" fillId="0" borderId="0" xfId="3" applyNumberFormat="1" applyFont="1" applyFill="1" applyBorder="1" applyAlignment="1">
      <alignment horizontal="right"/>
    </xf>
    <xf numFmtId="44" fontId="3" fillId="0" borderId="0" xfId="4" applyFont="1" applyFill="1" applyBorder="1"/>
    <xf numFmtId="165" fontId="3" fillId="0" borderId="0" xfId="4" applyNumberFormat="1" applyFont="1" applyFill="1" applyBorder="1" applyAlignment="1"/>
    <xf numFmtId="165" fontId="3" fillId="0" borderId="0" xfId="4" applyNumberFormat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164" fontId="2" fillId="0" borderId="0" xfId="2" applyNumberFormat="1" applyFont="1" applyFill="1" applyBorder="1" applyAlignment="1">
      <alignment horizontal="center"/>
    </xf>
    <xf numFmtId="10" fontId="2" fillId="0" borderId="0" xfId="3" applyNumberFormat="1" applyFont="1" applyFill="1" applyBorder="1" applyAlignment="1">
      <alignment horizontal="right"/>
    </xf>
    <xf numFmtId="14" fontId="2" fillId="0" borderId="0" xfId="3" applyNumberFormat="1" applyFont="1" applyFill="1" applyBorder="1" applyAlignment="1">
      <alignment horizontal="center"/>
    </xf>
    <xf numFmtId="14" fontId="2" fillId="0" borderId="0" xfId="1" applyNumberFormat="1" applyFont="1" applyAlignment="1">
      <alignment horizontal="center"/>
    </xf>
    <xf numFmtId="44" fontId="2" fillId="0" borderId="0" xfId="4" applyFont="1" applyFill="1" applyBorder="1"/>
    <xf numFmtId="165" fontId="2" fillId="0" borderId="0" xfId="4" applyNumberFormat="1" applyFont="1" applyFill="1" applyBorder="1" applyAlignment="1"/>
    <xf numFmtId="165" fontId="2" fillId="0" borderId="0" xfId="4" applyNumberFormat="1" applyFont="1" applyFill="1" applyBorder="1" applyAlignment="1">
      <alignment horizontal="center"/>
    </xf>
    <xf numFmtId="165" fontId="3" fillId="0" borderId="0" xfId="4" applyNumberFormat="1" applyFont="1" applyAlignment="1">
      <alignment horizontal="center"/>
    </xf>
    <xf numFmtId="0" fontId="5" fillId="0" borderId="0" xfId="1" applyFont="1" applyAlignment="1">
      <alignment horizontal="center"/>
    </xf>
    <xf numFmtId="164" fontId="5" fillId="0" borderId="0" xfId="2" applyNumberFormat="1" applyFont="1" applyAlignment="1">
      <alignment horizontal="center"/>
    </xf>
    <xf numFmtId="15" fontId="5" fillId="0" borderId="0" xfId="4" applyNumberFormat="1" applyFont="1" applyAlignment="1">
      <alignment horizontal="center"/>
    </xf>
    <xf numFmtId="44" fontId="5" fillId="0" borderId="0" xfId="4" applyFont="1" applyAlignment="1">
      <alignment horizontal="center"/>
    </xf>
    <xf numFmtId="165" fontId="5" fillId="0" borderId="0" xfId="4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2" fillId="4" borderId="1" xfId="2" applyNumberFormat="1" applyFont="1" applyFill="1" applyBorder="1" applyAlignment="1"/>
    <xf numFmtId="0" fontId="11" fillId="0" borderId="0" xfId="0" applyFont="1" applyAlignment="1">
      <alignment horizontal="center"/>
    </xf>
    <xf numFmtId="0" fontId="2" fillId="0" borderId="1" xfId="1" applyFont="1" applyBorder="1" applyAlignment="1">
      <alignment horizontal="left"/>
    </xf>
    <xf numFmtId="166" fontId="0" fillId="0" borderId="0" xfId="0" applyNumberFormat="1" applyAlignment="1">
      <alignment horizontal="center"/>
    </xf>
    <xf numFmtId="8" fontId="0" fillId="0" borderId="0" xfId="0" applyNumberFormat="1"/>
    <xf numFmtId="0" fontId="12" fillId="0" borderId="0" xfId="0" applyFont="1" applyAlignment="1">
      <alignment horizontal="center"/>
    </xf>
    <xf numFmtId="164" fontId="2" fillId="0" borderId="1" xfId="2" applyNumberFormat="1" applyFont="1" applyBorder="1" applyAlignment="1"/>
    <xf numFmtId="166" fontId="0" fillId="0" borderId="0" xfId="5" applyNumberFormat="1" applyFont="1" applyAlignment="1">
      <alignment horizontal="center"/>
    </xf>
    <xf numFmtId="44" fontId="0" fillId="0" borderId="0" xfId="5" applyFont="1"/>
    <xf numFmtId="164" fontId="2" fillId="4" borderId="1" xfId="2" applyNumberFormat="1" applyFont="1" applyFill="1" applyBorder="1" applyAlignment="1">
      <alignment horizontal="center"/>
    </xf>
    <xf numFmtId="0" fontId="13" fillId="0" borderId="1" xfId="1" applyFont="1" applyBorder="1" applyAlignment="1">
      <alignment horizontal="left"/>
    </xf>
    <xf numFmtId="164" fontId="0" fillId="0" borderId="0" xfId="0" applyNumberFormat="1"/>
    <xf numFmtId="0" fontId="0" fillId="0" borderId="2" xfId="0" applyBorder="1"/>
    <xf numFmtId="44" fontId="0" fillId="0" borderId="0" xfId="0" applyNumberFormat="1"/>
    <xf numFmtId="0" fontId="2" fillId="0" borderId="0" xfId="3" applyNumberFormat="1" applyFont="1" applyFill="1" applyBorder="1" applyAlignment="1">
      <alignment horizontal="right"/>
    </xf>
    <xf numFmtId="0" fontId="3" fillId="0" borderId="0" xfId="3" applyNumberFormat="1" applyFont="1" applyFill="1" applyBorder="1" applyAlignment="1">
      <alignment horizontal="right"/>
    </xf>
    <xf numFmtId="0" fontId="5" fillId="0" borderId="0" xfId="4" applyNumberFormat="1" applyFont="1" applyAlignment="1">
      <alignment horizontal="center"/>
    </xf>
    <xf numFmtId="167" fontId="2" fillId="0" borderId="0" xfId="4" applyNumberFormat="1" applyFont="1" applyFill="1" applyBorder="1"/>
    <xf numFmtId="8" fontId="2" fillId="0" borderId="0" xfId="4" applyNumberFormat="1" applyFont="1" applyFill="1" applyBorder="1"/>
    <xf numFmtId="169" fontId="2" fillId="0" borderId="0" xfId="4" applyNumberFormat="1" applyFont="1" applyFill="1" applyBorder="1"/>
    <xf numFmtId="0" fontId="4" fillId="2" borderId="0" xfId="1" applyFont="1" applyFill="1" applyAlignment="1">
      <alignment horizontal="center"/>
    </xf>
    <xf numFmtId="0" fontId="7" fillId="3" borderId="0" xfId="0" applyFont="1" applyFill="1" applyAlignment="1">
      <alignment horizontal="center"/>
    </xf>
  </cellXfs>
  <cellStyles count="6">
    <cellStyle name="Comma 12" xfId="2" xr:uid="{00000000-0005-0000-0000-000000000000}"/>
    <cellStyle name="Currency" xfId="5" builtinId="4"/>
    <cellStyle name="Currency 6" xfId="4" xr:uid="{00000000-0005-0000-0000-000001000000}"/>
    <cellStyle name="Normal" xfId="0" builtinId="0"/>
    <cellStyle name="Normal 31" xfId="1" xr:uid="{00000000-0005-0000-0000-000003000000}"/>
    <cellStyle name="Percent 6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37"/>
  <sheetViews>
    <sheetView tabSelected="1" topLeftCell="A2" workbookViewId="0">
      <selection activeCell="I33" sqref="I33"/>
    </sheetView>
  </sheetViews>
  <sheetFormatPr defaultRowHeight="15" customHeight="1" x14ac:dyDescent="0.25"/>
  <cols>
    <col min="3" max="3" width="28.7109375" customWidth="1"/>
    <col min="4" max="4" width="12" customWidth="1"/>
    <col min="5" max="5" width="10.85546875" customWidth="1"/>
    <col min="6" max="6" width="14.7109375" customWidth="1"/>
    <col min="7" max="7" width="18.140625" customWidth="1"/>
    <col min="8" max="8" width="19" customWidth="1"/>
    <col min="9" max="9" width="16.42578125" customWidth="1"/>
    <col min="10" max="10" width="13.140625" customWidth="1"/>
    <col min="11" max="11" width="11" customWidth="1"/>
    <col min="12" max="12" width="10.28515625" customWidth="1"/>
    <col min="13" max="16" width="10.5703125" customWidth="1"/>
    <col min="17" max="17" width="21" customWidth="1"/>
    <col min="18" max="18" width="17.7109375" customWidth="1"/>
    <col min="19" max="19" width="4.85546875" customWidth="1"/>
    <col min="23" max="23" width="16.5703125" customWidth="1"/>
  </cols>
  <sheetData>
    <row r="2" spans="2:23" x14ac:dyDescent="0.25"/>
    <row r="3" spans="2:23" ht="15.75" x14ac:dyDescent="0.25">
      <c r="B3" s="1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 t="s">
        <v>0</v>
      </c>
      <c r="R3" s="16" t="s">
        <v>1</v>
      </c>
    </row>
    <row r="4" spans="2:23" ht="15.75" x14ac:dyDescent="0.25">
      <c r="B4" s="17" t="s">
        <v>2</v>
      </c>
      <c r="C4" s="17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9" t="s">
        <v>9</v>
      </c>
      <c r="J4" s="20" t="s">
        <v>10</v>
      </c>
      <c r="K4" s="42">
        <v>2026</v>
      </c>
      <c r="L4" s="42">
        <v>2027</v>
      </c>
      <c r="M4" s="42">
        <v>2028</v>
      </c>
      <c r="N4" s="42">
        <v>2029</v>
      </c>
      <c r="O4" s="42">
        <v>2030</v>
      </c>
      <c r="P4" s="42">
        <v>2031</v>
      </c>
      <c r="Q4" s="21" t="s">
        <v>11</v>
      </c>
      <c r="R4" s="21" t="s">
        <v>11</v>
      </c>
      <c r="T4" t="s">
        <v>12</v>
      </c>
      <c r="V4" t="s">
        <v>48</v>
      </c>
    </row>
    <row r="5" spans="2:23" ht="15.75" x14ac:dyDescent="0.25">
      <c r="B5" s="46" t="s">
        <v>13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</row>
    <row r="6" spans="2:23" ht="15.75" x14ac:dyDescent="0.25">
      <c r="B6" s="1">
        <v>200</v>
      </c>
      <c r="C6" s="8" t="s">
        <v>46</v>
      </c>
      <c r="D6" s="9">
        <v>7075</v>
      </c>
      <c r="E6" s="9"/>
      <c r="F6" s="10">
        <f>D6/103467</f>
        <v>6.8379290015173927E-2</v>
      </c>
      <c r="G6" s="40">
        <v>2022</v>
      </c>
      <c r="H6" s="11">
        <v>44621</v>
      </c>
      <c r="I6" s="12">
        <v>48487</v>
      </c>
      <c r="J6" s="43">
        <f>K6</f>
        <v>35.409999999999997</v>
      </c>
      <c r="K6" s="43">
        <v>35.409999999999997</v>
      </c>
      <c r="L6" s="43">
        <v>36.380000000000003</v>
      </c>
      <c r="M6" s="43">
        <v>37.380000000000003</v>
      </c>
      <c r="N6" s="43">
        <v>38.409999999999997</v>
      </c>
      <c r="O6" s="43">
        <v>39.47</v>
      </c>
      <c r="P6" s="43">
        <v>40.549999999999997</v>
      </c>
      <c r="Q6" s="14">
        <f>D6*J6/12</f>
        <v>20877.145833333332</v>
      </c>
      <c r="R6" s="15">
        <f>D6*J6</f>
        <v>250525.74999999997</v>
      </c>
    </row>
    <row r="7" spans="2:23" ht="15.75" x14ac:dyDescent="0.25">
      <c r="B7" s="1">
        <v>210</v>
      </c>
      <c r="C7" s="8" t="s">
        <v>42</v>
      </c>
      <c r="D7" s="9">
        <v>4992</v>
      </c>
      <c r="E7" s="9"/>
      <c r="F7" s="10">
        <f>D7/103467</f>
        <v>4.8247267244628723E-2</v>
      </c>
      <c r="G7" s="40">
        <v>2022</v>
      </c>
      <c r="H7" s="11">
        <v>44501</v>
      </c>
      <c r="I7" s="12">
        <v>47907</v>
      </c>
      <c r="J7" s="43">
        <f t="shared" ref="J7:J12" si="0">K7</f>
        <v>35</v>
      </c>
      <c r="K7" s="13">
        <v>35</v>
      </c>
      <c r="L7" s="13">
        <v>35.96</v>
      </c>
      <c r="M7" s="13">
        <v>36.950000000000003</v>
      </c>
      <c r="N7" s="13">
        <v>37.97</v>
      </c>
      <c r="O7" s="13">
        <f>N7*1.0275</f>
        <v>39.014175000000002</v>
      </c>
      <c r="P7" s="13"/>
      <c r="Q7" s="14">
        <f>D7*J7/12</f>
        <v>14560</v>
      </c>
      <c r="R7" s="15">
        <f>D7*J7</f>
        <v>174720</v>
      </c>
    </row>
    <row r="8" spans="2:23" ht="15.75" x14ac:dyDescent="0.25">
      <c r="B8" s="1">
        <v>220</v>
      </c>
      <c r="C8" s="8" t="s">
        <v>46</v>
      </c>
      <c r="D8" s="9">
        <v>5771</v>
      </c>
      <c r="E8" s="9"/>
      <c r="F8" s="10">
        <f>D8/103467</f>
        <v>5.5776237834285328E-2</v>
      </c>
      <c r="G8" s="40">
        <v>2022</v>
      </c>
      <c r="H8" s="11">
        <v>44788</v>
      </c>
      <c r="I8" s="12">
        <v>48487</v>
      </c>
      <c r="J8" s="43">
        <f t="shared" si="0"/>
        <v>35.409999999999997</v>
      </c>
      <c r="K8" s="43">
        <v>35.409999999999997</v>
      </c>
      <c r="L8" s="43">
        <v>36.380000000000003</v>
      </c>
      <c r="M8" s="43">
        <v>37.380000000000003</v>
      </c>
      <c r="N8" s="43">
        <v>38.409999999999997</v>
      </c>
      <c r="O8" s="43">
        <v>39.47</v>
      </c>
      <c r="P8" s="43">
        <v>40.549999999999997</v>
      </c>
      <c r="Q8" s="14">
        <f>D8*J8/12</f>
        <v>17029.259166666667</v>
      </c>
      <c r="R8" s="15">
        <f>D8*J8</f>
        <v>204351.11</v>
      </c>
      <c r="T8" t="s">
        <v>14</v>
      </c>
    </row>
    <row r="9" spans="2:23" ht="15.75" x14ac:dyDescent="0.25">
      <c r="B9" s="1" t="s">
        <v>15</v>
      </c>
      <c r="C9" s="8" t="s">
        <v>16</v>
      </c>
      <c r="D9" s="9">
        <v>612</v>
      </c>
      <c r="E9" s="9"/>
      <c r="F9" s="10">
        <f>D9/103467</f>
        <v>5.9149293977790018E-3</v>
      </c>
      <c r="G9" s="40">
        <v>2022</v>
      </c>
      <c r="H9" s="11">
        <v>42644</v>
      </c>
      <c r="I9" s="12">
        <v>46446</v>
      </c>
      <c r="J9" s="43">
        <f t="shared" si="0"/>
        <v>32.32</v>
      </c>
      <c r="K9" s="13">
        <v>32.32</v>
      </c>
      <c r="L9" s="13">
        <v>33.21</v>
      </c>
      <c r="M9" s="13"/>
      <c r="N9" s="13"/>
      <c r="O9" s="13"/>
      <c r="P9" s="13"/>
      <c r="Q9" s="14">
        <f>D9*J9/12</f>
        <v>1648.32</v>
      </c>
      <c r="R9" s="15">
        <f>D9*J9</f>
        <v>19779.84</v>
      </c>
      <c r="W9" t="s">
        <v>17</v>
      </c>
    </row>
    <row r="10" spans="2:23" ht="15.75" x14ac:dyDescent="0.25">
      <c r="B10" s="1">
        <v>230</v>
      </c>
      <c r="C10" s="8" t="s">
        <v>18</v>
      </c>
      <c r="D10" s="9">
        <v>3144</v>
      </c>
      <c r="E10" s="9"/>
      <c r="F10" s="10">
        <f>D10/103467</f>
        <v>3.0386500043492127E-2</v>
      </c>
      <c r="G10" s="40">
        <v>2022</v>
      </c>
      <c r="H10" s="11">
        <v>42644</v>
      </c>
      <c r="I10" s="12">
        <v>46446</v>
      </c>
      <c r="J10" s="43">
        <f t="shared" si="0"/>
        <v>32.32</v>
      </c>
      <c r="K10" s="13">
        <v>32.32</v>
      </c>
      <c r="L10" s="13">
        <v>33.21</v>
      </c>
      <c r="M10" s="13"/>
      <c r="N10" s="13"/>
      <c r="O10" s="13"/>
      <c r="P10" s="13"/>
      <c r="Q10" s="14">
        <f>D10*J10/12</f>
        <v>8467.84</v>
      </c>
      <c r="R10" s="15">
        <f>D10*J10</f>
        <v>101614.08</v>
      </c>
    </row>
    <row r="11" spans="2:23" ht="15.75" x14ac:dyDescent="0.25">
      <c r="B11" s="1">
        <v>240</v>
      </c>
      <c r="C11" s="8" t="s">
        <v>19</v>
      </c>
      <c r="D11" s="9">
        <v>1792</v>
      </c>
      <c r="E11" s="9"/>
      <c r="F11" s="10">
        <f>D11/103467</f>
        <v>1.7319531831405183E-2</v>
      </c>
      <c r="G11" s="40">
        <v>2021</v>
      </c>
      <c r="H11" s="11">
        <v>44044</v>
      </c>
      <c r="I11" s="12">
        <v>47097</v>
      </c>
      <c r="J11" s="43">
        <f t="shared" si="0"/>
        <v>33.5</v>
      </c>
      <c r="K11" s="13">
        <v>33.5</v>
      </c>
      <c r="L11" s="13">
        <f>K11*1.03</f>
        <v>34.505000000000003</v>
      </c>
      <c r="M11" s="13">
        <f>L11*1.03</f>
        <v>35.540150000000004</v>
      </c>
      <c r="N11" s="13"/>
      <c r="O11" s="13"/>
      <c r="P11" s="13"/>
      <c r="Q11" s="14">
        <f>D11*J11/12</f>
        <v>5002.666666666667</v>
      </c>
      <c r="R11" s="15">
        <f>D11*J11</f>
        <v>60032</v>
      </c>
    </row>
    <row r="12" spans="2:23" ht="15.75" x14ac:dyDescent="0.25">
      <c r="B12" s="1">
        <v>260</v>
      </c>
      <c r="C12" s="8" t="s">
        <v>43</v>
      </c>
      <c r="D12" s="9">
        <v>2190</v>
      </c>
      <c r="E12" s="9"/>
      <c r="F12" s="10">
        <f>D12/103467</f>
        <v>2.116616892342486E-2</v>
      </c>
      <c r="G12" s="40">
        <v>2025</v>
      </c>
      <c r="H12" s="11">
        <v>45809</v>
      </c>
      <c r="I12" s="12">
        <v>47726</v>
      </c>
      <c r="J12" s="43">
        <f t="shared" si="0"/>
        <v>31.2</v>
      </c>
      <c r="K12" s="13">
        <v>31.2</v>
      </c>
      <c r="L12" s="13">
        <v>32.14</v>
      </c>
      <c r="M12" s="13">
        <v>33.1</v>
      </c>
      <c r="N12" s="13">
        <v>34.090000000000003</v>
      </c>
      <c r="O12" s="13">
        <v>35.119999999999997</v>
      </c>
      <c r="P12" s="13"/>
      <c r="Q12" s="14">
        <f>D12*J12/12</f>
        <v>5694</v>
      </c>
      <c r="R12" s="15">
        <f>D12*J12</f>
        <v>68328</v>
      </c>
    </row>
    <row r="13" spans="2:23" ht="15.75" x14ac:dyDescent="0.25">
      <c r="B13" s="1"/>
      <c r="C13" s="8"/>
      <c r="D13" s="9"/>
      <c r="E13" s="9">
        <f>SUM(D6:D12)</f>
        <v>25576</v>
      </c>
      <c r="F13" s="10"/>
      <c r="G13" s="40"/>
      <c r="H13" s="11"/>
      <c r="I13" s="12"/>
      <c r="J13" s="13"/>
      <c r="K13" s="13"/>
      <c r="L13" s="13"/>
      <c r="M13" s="13"/>
      <c r="N13" s="13"/>
      <c r="O13" s="13"/>
      <c r="P13" s="13"/>
      <c r="Q13" s="14"/>
      <c r="R13" s="15"/>
    </row>
    <row r="14" spans="2:23" ht="15.75" x14ac:dyDescent="0.25">
      <c r="B14" s="1">
        <v>310</v>
      </c>
      <c r="C14" s="8" t="s">
        <v>47</v>
      </c>
      <c r="D14" s="9">
        <v>11353</v>
      </c>
      <c r="E14" s="9"/>
      <c r="F14" s="10">
        <f>D14/103467</f>
        <v>0.10972580629572715</v>
      </c>
      <c r="G14" s="40">
        <v>2017</v>
      </c>
      <c r="H14" s="11">
        <v>46174</v>
      </c>
      <c r="I14" s="12">
        <v>49705</v>
      </c>
      <c r="J14" s="43">
        <f>K14</f>
        <v>33.5</v>
      </c>
      <c r="K14" s="13">
        <v>33.5</v>
      </c>
      <c r="L14" s="13">
        <f>K14*1.0275</f>
        <v>34.421250000000001</v>
      </c>
      <c r="M14" s="13">
        <f t="shared" ref="M14:P14" si="1">L14*1.0275</f>
        <v>35.367834375000001</v>
      </c>
      <c r="N14" s="13">
        <f t="shared" si="1"/>
        <v>36.340449820312507</v>
      </c>
      <c r="O14" s="13">
        <f t="shared" si="1"/>
        <v>37.339812190371106</v>
      </c>
      <c r="P14" s="13">
        <f t="shared" si="1"/>
        <v>38.366657025606315</v>
      </c>
      <c r="Q14" s="14">
        <f>D14*J14/12</f>
        <v>31693.791666666668</v>
      </c>
      <c r="R14" s="15">
        <f>D14*J14</f>
        <v>380325.5</v>
      </c>
    </row>
    <row r="15" spans="2:23" ht="15.75" x14ac:dyDescent="0.25">
      <c r="B15" s="1">
        <v>300</v>
      </c>
      <c r="C15" s="8" t="s">
        <v>47</v>
      </c>
      <c r="D15" s="9">
        <v>9166</v>
      </c>
      <c r="E15" s="9"/>
      <c r="F15" s="10">
        <f>D15/D22</f>
        <v>8.8588632124252178E-2</v>
      </c>
      <c r="G15" s="40">
        <v>2026</v>
      </c>
      <c r="H15" s="11">
        <v>46174</v>
      </c>
      <c r="I15" s="12">
        <v>49705</v>
      </c>
      <c r="J15" s="43">
        <f>K15</f>
        <v>33.5</v>
      </c>
      <c r="K15" s="13">
        <v>33.5</v>
      </c>
      <c r="L15" s="13">
        <f t="shared" ref="L15:P15" si="2">K15*1.0275</f>
        <v>34.421250000000001</v>
      </c>
      <c r="M15" s="13">
        <f t="shared" si="2"/>
        <v>35.367834375000001</v>
      </c>
      <c r="N15" s="13">
        <f t="shared" si="2"/>
        <v>36.340449820312507</v>
      </c>
      <c r="O15" s="13">
        <f t="shared" si="2"/>
        <v>37.339812190371106</v>
      </c>
      <c r="P15" s="13">
        <f t="shared" si="2"/>
        <v>38.366657025606315</v>
      </c>
      <c r="Q15" s="14">
        <f>R15/12</f>
        <v>25588.416666666668</v>
      </c>
      <c r="R15" s="15">
        <f>D15*J15</f>
        <v>307061</v>
      </c>
    </row>
    <row r="16" spans="2:23" ht="15.75" x14ac:dyDescent="0.25">
      <c r="B16" s="1">
        <v>330</v>
      </c>
      <c r="C16" s="8" t="s">
        <v>45</v>
      </c>
      <c r="D16" s="9">
        <v>5487</v>
      </c>
      <c r="E16" s="9" t="s">
        <v>25</v>
      </c>
      <c r="F16" s="10">
        <f>D16/103467</f>
        <v>5.3031401316361741E-2</v>
      </c>
      <c r="G16" s="40">
        <v>2025</v>
      </c>
      <c r="H16" s="11">
        <v>45444</v>
      </c>
      <c r="I16" s="12">
        <v>46996</v>
      </c>
      <c r="J16" s="43">
        <f>K16</f>
        <v>31.93</v>
      </c>
      <c r="K16" s="44">
        <v>31.93</v>
      </c>
      <c r="L16" s="44">
        <v>32.89</v>
      </c>
      <c r="M16" s="44">
        <v>33.869999999999997</v>
      </c>
      <c r="N16" s="44" t="s">
        <v>25</v>
      </c>
      <c r="O16" s="44" t="s">
        <v>25</v>
      </c>
      <c r="P16" s="44"/>
      <c r="Q16" s="14">
        <f>D16*J16/12</f>
        <v>14599.9925</v>
      </c>
      <c r="R16" s="15">
        <f>D16*J16</f>
        <v>175199.91</v>
      </c>
    </row>
    <row r="17" spans="2:23" ht="15.75" x14ac:dyDescent="0.25">
      <c r="B17" s="1"/>
      <c r="C17" s="8"/>
      <c r="D17" s="9"/>
      <c r="E17" s="9">
        <f>SUM(D14:D16)</f>
        <v>26006</v>
      </c>
      <c r="F17" s="10"/>
      <c r="G17" s="40"/>
      <c r="H17" s="11"/>
      <c r="I17" s="12"/>
      <c r="J17" s="13"/>
      <c r="K17" s="13"/>
      <c r="L17" s="13"/>
      <c r="M17" s="13"/>
      <c r="N17" s="13"/>
      <c r="O17" s="13"/>
      <c r="P17" s="13"/>
      <c r="Q17" s="14"/>
      <c r="R17" s="15"/>
    </row>
    <row r="18" spans="2:23" ht="15.75" x14ac:dyDescent="0.25">
      <c r="B18" s="1" t="s">
        <v>44</v>
      </c>
      <c r="C18" s="8" t="s">
        <v>21</v>
      </c>
      <c r="D18" s="9">
        <v>25888</v>
      </c>
      <c r="E18" s="9"/>
      <c r="F18" s="10">
        <f>D18/103467</f>
        <v>0.25020537949297844</v>
      </c>
      <c r="G18" s="40">
        <v>2025</v>
      </c>
      <c r="H18" s="11">
        <v>43040</v>
      </c>
      <c r="I18" s="12">
        <v>48395</v>
      </c>
      <c r="J18" s="43">
        <f>K18</f>
        <v>31.67</v>
      </c>
      <c r="K18" s="44">
        <v>31.67</v>
      </c>
      <c r="L18" s="44">
        <v>32.54</v>
      </c>
      <c r="M18" s="44">
        <v>33.44</v>
      </c>
      <c r="N18" s="44">
        <v>34.46</v>
      </c>
      <c r="O18" s="44">
        <f>N18*1.03</f>
        <v>35.4938</v>
      </c>
      <c r="P18" s="44"/>
      <c r="Q18" s="14">
        <f>D18*J18/12</f>
        <v>68322.746666666673</v>
      </c>
      <c r="R18" s="15">
        <f>D18*J18</f>
        <v>819872.96000000008</v>
      </c>
    </row>
    <row r="19" spans="2:23" ht="15.75" x14ac:dyDescent="0.25">
      <c r="B19" s="1"/>
      <c r="C19" s="8"/>
      <c r="D19" s="9"/>
      <c r="E19" s="9">
        <f>SUM(D18:D18)</f>
        <v>25888</v>
      </c>
      <c r="F19" s="10"/>
      <c r="G19" s="40"/>
      <c r="H19" s="11"/>
      <c r="I19" s="12"/>
      <c r="J19" s="13"/>
      <c r="K19" s="13"/>
      <c r="L19" s="13"/>
      <c r="M19" s="13"/>
      <c r="N19" s="13"/>
      <c r="O19" s="13"/>
      <c r="P19" s="13"/>
      <c r="Q19" s="14"/>
      <c r="R19" s="15"/>
    </row>
    <row r="20" spans="2:23" ht="15.75" x14ac:dyDescent="0.25">
      <c r="B20" s="1">
        <v>500</v>
      </c>
      <c r="C20" s="8" t="s">
        <v>22</v>
      </c>
      <c r="D20" s="9">
        <v>25997</v>
      </c>
      <c r="E20" s="9"/>
      <c r="F20" s="10">
        <f>D20/103467</f>
        <v>0.25125885548049137</v>
      </c>
      <c r="G20" s="40">
        <v>2023</v>
      </c>
      <c r="H20" s="11">
        <v>45139</v>
      </c>
      <c r="I20" s="12">
        <v>47118</v>
      </c>
      <c r="J20" s="43">
        <f>K20</f>
        <v>39.25</v>
      </c>
      <c r="K20" s="13">
        <v>39.25</v>
      </c>
      <c r="L20" s="13">
        <v>40.43</v>
      </c>
      <c r="M20" s="13">
        <v>41.64</v>
      </c>
      <c r="N20" s="13">
        <v>42.89</v>
      </c>
      <c r="O20" s="13"/>
      <c r="P20" s="13"/>
      <c r="Q20" s="14">
        <f>D20*J20/12</f>
        <v>85031.854166666672</v>
      </c>
      <c r="R20" s="15">
        <f>D20*J20</f>
        <v>1020382.25</v>
      </c>
      <c r="T20" t="s">
        <v>23</v>
      </c>
      <c r="W20">
        <v>70.25</v>
      </c>
    </row>
    <row r="21" spans="2:23" ht="15.75" x14ac:dyDescent="0.25">
      <c r="B21" s="1"/>
      <c r="C21" s="8"/>
      <c r="D21" s="9"/>
      <c r="E21" s="9">
        <f>SUM(D20)</f>
        <v>25997</v>
      </c>
      <c r="F21" s="10"/>
      <c r="G21" s="40"/>
      <c r="H21" s="11"/>
      <c r="I21" s="12"/>
      <c r="J21" s="13"/>
      <c r="K21" s="13"/>
      <c r="L21" s="13"/>
      <c r="M21" s="13"/>
      <c r="N21" s="13"/>
      <c r="O21" s="13"/>
      <c r="P21" s="13"/>
      <c r="Q21" s="14"/>
      <c r="R21" s="15"/>
    </row>
    <row r="22" spans="2:23" ht="15.75" x14ac:dyDescent="0.25">
      <c r="B22" s="1"/>
      <c r="C22" s="2" t="s">
        <v>24</v>
      </c>
      <c r="D22" s="3">
        <f>SUM(D6:D20)</f>
        <v>103467</v>
      </c>
      <c r="E22" s="3" t="s">
        <v>25</v>
      </c>
      <c r="F22" s="4">
        <f>SUM(F6:F20)</f>
        <v>1</v>
      </c>
      <c r="G22" s="41"/>
      <c r="H22" s="11"/>
      <c r="I22" s="12"/>
      <c r="J22" s="5">
        <f>R22/D22</f>
        <v>34.621593358268818</v>
      </c>
      <c r="K22" s="5"/>
      <c r="L22" s="5"/>
      <c r="M22" s="5"/>
      <c r="N22" s="5"/>
      <c r="O22" s="5"/>
      <c r="P22" s="5"/>
      <c r="Q22" s="6">
        <f>SUM(Q6:Q19)</f>
        <v>213484.1791666667</v>
      </c>
      <c r="R22" s="7">
        <f>SUM(R6:R20)</f>
        <v>3582192.4</v>
      </c>
    </row>
    <row r="23" spans="2:23" ht="15.75" x14ac:dyDescent="0.25">
      <c r="B23" s="1"/>
      <c r="C23" s="2"/>
      <c r="D23" s="3"/>
      <c r="E23" s="3"/>
      <c r="F23" s="4"/>
      <c r="G23" s="4"/>
      <c r="H23" s="11"/>
      <c r="I23" s="12"/>
      <c r="J23" s="5"/>
      <c r="K23" s="5"/>
      <c r="L23" s="5"/>
      <c r="M23" s="5"/>
      <c r="N23" s="5"/>
      <c r="O23" s="5"/>
      <c r="P23" s="5"/>
      <c r="Q23" s="6"/>
      <c r="R23" s="7"/>
    </row>
    <row r="24" spans="2:23" ht="15.75" x14ac:dyDescent="0.25">
      <c r="B24" s="1"/>
      <c r="C24" s="8"/>
      <c r="D24" s="9"/>
      <c r="E24" s="9"/>
      <c r="F24" s="4"/>
      <c r="G24" s="4"/>
      <c r="H24" s="11"/>
      <c r="I24" s="12"/>
      <c r="J24" s="13"/>
      <c r="K24" s="13"/>
      <c r="L24" s="13"/>
      <c r="M24" s="45" t="s">
        <v>25</v>
      </c>
      <c r="N24" s="13"/>
      <c r="O24" s="13"/>
      <c r="P24" s="13"/>
      <c r="Q24" s="14"/>
      <c r="R24" s="15"/>
      <c r="S24" t="s">
        <v>25</v>
      </c>
      <c r="T24" t="s">
        <v>25</v>
      </c>
      <c r="V24" t="s">
        <v>25</v>
      </c>
      <c r="W24" t="s">
        <v>25</v>
      </c>
    </row>
    <row r="25" spans="2:23" x14ac:dyDescent="0.25">
      <c r="R25" s="39" t="s">
        <v>25</v>
      </c>
      <c r="V25">
        <v>150</v>
      </c>
      <c r="W25" t="s">
        <v>26</v>
      </c>
    </row>
    <row r="26" spans="2:23" x14ac:dyDescent="0.25">
      <c r="E26" t="s">
        <v>25</v>
      </c>
      <c r="R26" s="39" t="s">
        <v>25</v>
      </c>
      <c r="V26" s="38">
        <v>111</v>
      </c>
      <c r="W26" t="s">
        <v>27</v>
      </c>
    </row>
    <row r="27" spans="2:23" x14ac:dyDescent="0.25">
      <c r="V27">
        <f>SUM(V25:V26)</f>
        <v>261</v>
      </c>
    </row>
    <row r="28" spans="2:23" x14ac:dyDescent="0.25">
      <c r="V28" s="38">
        <v>154</v>
      </c>
      <c r="W28" t="s">
        <v>28</v>
      </c>
    </row>
    <row r="29" spans="2:23" x14ac:dyDescent="0.25">
      <c r="D29" s="37" t="s">
        <v>25</v>
      </c>
      <c r="J29" s="37" t="s">
        <v>25</v>
      </c>
      <c r="R29" t="s">
        <v>25</v>
      </c>
      <c r="V29">
        <f>V27-V28</f>
        <v>107</v>
      </c>
      <c r="W29" t="s">
        <v>29</v>
      </c>
    </row>
    <row r="30" spans="2:23" x14ac:dyDescent="0.25">
      <c r="D30" s="37" t="s">
        <v>25</v>
      </c>
      <c r="V30" s="38">
        <v>50</v>
      </c>
      <c r="W30" t="s">
        <v>30</v>
      </c>
    </row>
    <row r="31" spans="2:23" x14ac:dyDescent="0.25">
      <c r="D31" s="37" t="s">
        <v>25</v>
      </c>
      <c r="V31">
        <v>57</v>
      </c>
      <c r="W31" t="s">
        <v>31</v>
      </c>
    </row>
    <row r="33" spans="8:22" x14ac:dyDescent="0.25">
      <c r="I33" t="s">
        <v>25</v>
      </c>
    </row>
    <row r="34" spans="8:22" ht="15" customHeight="1" x14ac:dyDescent="0.25">
      <c r="H34" t="s">
        <v>25</v>
      </c>
      <c r="I34" t="s">
        <v>25</v>
      </c>
      <c r="J34" t="s">
        <v>25</v>
      </c>
    </row>
    <row r="35" spans="8:22" ht="15" customHeight="1" x14ac:dyDescent="0.25">
      <c r="J35" t="s">
        <v>25</v>
      </c>
    </row>
    <row r="37" spans="8:22" x14ac:dyDescent="0.25">
      <c r="V37" t="s">
        <v>32</v>
      </c>
    </row>
  </sheetData>
  <mergeCells count="1">
    <mergeCell ref="B5:R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1922-488D-4F76-A0CF-35D7E9D99567}">
  <dimension ref="A1:M22"/>
  <sheetViews>
    <sheetView workbookViewId="0">
      <selection activeCell="E3" sqref="E3"/>
    </sheetView>
  </sheetViews>
  <sheetFormatPr defaultRowHeight="15" x14ac:dyDescent="0.25"/>
  <cols>
    <col min="1" max="1" width="18.5703125" customWidth="1"/>
    <col min="2" max="2" width="15.5703125" customWidth="1"/>
    <col min="3" max="3" width="14.7109375" customWidth="1"/>
    <col min="4" max="4" width="42.28515625" customWidth="1"/>
  </cols>
  <sheetData>
    <row r="1" spans="1:13" ht="15.75" x14ac:dyDescent="0.25">
      <c r="A1" s="46" t="s">
        <v>13</v>
      </c>
      <c r="B1" s="46"/>
      <c r="C1" s="47" t="s">
        <v>33</v>
      </c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x14ac:dyDescent="0.25">
      <c r="A2" s="22" t="s">
        <v>2</v>
      </c>
      <c r="B2" s="23" t="s">
        <v>34</v>
      </c>
      <c r="C2" s="23" t="s">
        <v>7</v>
      </c>
      <c r="D2" s="24" t="s">
        <v>3</v>
      </c>
      <c r="E2" s="25">
        <v>2020</v>
      </c>
      <c r="F2" s="25">
        <v>2021</v>
      </c>
      <c r="G2" s="25">
        <v>2022</v>
      </c>
      <c r="H2" s="25">
        <v>2023</v>
      </c>
      <c r="I2" s="25">
        <v>2024</v>
      </c>
      <c r="J2" s="25">
        <v>2025</v>
      </c>
      <c r="K2" s="25">
        <v>2026</v>
      </c>
      <c r="L2" s="25">
        <v>2027</v>
      </c>
      <c r="M2" s="25">
        <v>2028</v>
      </c>
    </row>
    <row r="3" spans="1:13" ht="15.75" x14ac:dyDescent="0.25">
      <c r="A3" s="8">
        <v>200</v>
      </c>
      <c r="B3" s="9">
        <v>7075</v>
      </c>
      <c r="C3" s="27"/>
      <c r="D3" s="36" t="s">
        <v>35</v>
      </c>
      <c r="E3" s="29"/>
      <c r="F3" s="29"/>
      <c r="G3" s="29"/>
      <c r="H3" s="29"/>
      <c r="I3" s="29"/>
      <c r="J3" s="29"/>
      <c r="K3" s="29"/>
      <c r="L3" s="29"/>
    </row>
    <row r="4" spans="1:13" ht="15.75" x14ac:dyDescent="0.25">
      <c r="A4" s="8">
        <v>210</v>
      </c>
      <c r="B4" s="9">
        <v>4992</v>
      </c>
      <c r="C4" s="31"/>
      <c r="D4" s="36" t="s">
        <v>35</v>
      </c>
      <c r="E4" s="29"/>
      <c r="F4" s="29"/>
      <c r="G4" s="29"/>
      <c r="H4" s="29"/>
      <c r="I4" s="29"/>
      <c r="J4" s="29"/>
      <c r="K4" s="29"/>
      <c r="L4" s="29"/>
    </row>
    <row r="5" spans="1:13" ht="15.75" x14ac:dyDescent="0.25">
      <c r="A5" s="8">
        <v>220</v>
      </c>
      <c r="B5" s="9">
        <v>5771</v>
      </c>
      <c r="C5" s="27"/>
      <c r="D5" s="36" t="s">
        <v>35</v>
      </c>
      <c r="E5" s="29"/>
      <c r="F5" s="29"/>
      <c r="G5" s="29"/>
      <c r="H5" s="29"/>
      <c r="I5" s="29"/>
      <c r="J5" s="29"/>
      <c r="K5" s="29"/>
      <c r="L5" s="29"/>
    </row>
    <row r="6" spans="1:13" ht="15.75" x14ac:dyDescent="0.25">
      <c r="A6" s="8" t="s">
        <v>15</v>
      </c>
      <c r="B6" s="9">
        <v>612</v>
      </c>
      <c r="C6" s="27">
        <v>2017</v>
      </c>
      <c r="D6" s="8" t="s">
        <v>36</v>
      </c>
      <c r="E6" s="29">
        <v>30.6</v>
      </c>
      <c r="F6" s="29">
        <v>31.51</v>
      </c>
      <c r="G6" s="29">
        <v>32.46</v>
      </c>
      <c r="H6" s="29"/>
      <c r="I6" s="29"/>
      <c r="J6" s="29"/>
      <c r="K6" s="29"/>
    </row>
    <row r="7" spans="1:13" ht="15.75" x14ac:dyDescent="0.25">
      <c r="A7" s="8">
        <v>230</v>
      </c>
      <c r="B7" s="9">
        <v>3144</v>
      </c>
      <c r="C7" s="27">
        <v>2017</v>
      </c>
      <c r="D7" s="8" t="s">
        <v>37</v>
      </c>
      <c r="E7" s="29">
        <v>29.5</v>
      </c>
      <c r="F7" s="29">
        <v>30.39</v>
      </c>
      <c r="G7" s="29">
        <v>31.3</v>
      </c>
      <c r="H7" s="29"/>
      <c r="I7" s="29"/>
      <c r="J7" s="29"/>
      <c r="K7" s="29"/>
    </row>
    <row r="8" spans="1:13" ht="15.75" x14ac:dyDescent="0.25">
      <c r="A8" s="8">
        <v>240</v>
      </c>
      <c r="B8" s="9">
        <v>1792</v>
      </c>
      <c r="C8" s="27">
        <v>2021</v>
      </c>
      <c r="D8" s="8" t="s">
        <v>19</v>
      </c>
      <c r="E8" s="29">
        <v>32.5</v>
      </c>
      <c r="F8" s="29">
        <v>33.479999999999997</v>
      </c>
      <c r="G8" s="29">
        <v>34.479999999999997</v>
      </c>
      <c r="H8" s="29">
        <v>35.51</v>
      </c>
      <c r="I8" s="29">
        <v>36.58</v>
      </c>
      <c r="J8" s="29">
        <v>37.68</v>
      </c>
      <c r="K8" s="29"/>
    </row>
    <row r="9" spans="1:13" ht="15.75" x14ac:dyDescent="0.25">
      <c r="A9" s="8">
        <v>260</v>
      </c>
      <c r="B9" s="9">
        <v>2910</v>
      </c>
      <c r="C9" s="27">
        <v>2017</v>
      </c>
      <c r="D9" s="8" t="s">
        <v>38</v>
      </c>
      <c r="E9" s="29">
        <v>29.78</v>
      </c>
      <c r="F9" s="29">
        <v>30.67</v>
      </c>
      <c r="G9" s="29">
        <v>31.59</v>
      </c>
      <c r="H9" s="29">
        <v>32.54</v>
      </c>
      <c r="I9" s="29">
        <v>33.51</v>
      </c>
      <c r="J9" s="29"/>
      <c r="K9" s="29"/>
    </row>
    <row r="10" spans="1:13" ht="15.75" x14ac:dyDescent="0.25">
      <c r="A10" s="8">
        <v>300</v>
      </c>
      <c r="B10" s="9">
        <v>9166</v>
      </c>
      <c r="C10" s="27">
        <v>2016</v>
      </c>
      <c r="D10" s="8" t="s">
        <v>39</v>
      </c>
      <c r="E10" s="29">
        <v>30.93</v>
      </c>
      <c r="F10" s="29">
        <v>31.78</v>
      </c>
      <c r="G10" s="29">
        <v>32.659999999999997</v>
      </c>
      <c r="H10" s="29">
        <v>33.549999999999997</v>
      </c>
      <c r="I10" s="29">
        <v>34.479999999999997</v>
      </c>
      <c r="J10" s="29">
        <v>35.42</v>
      </c>
      <c r="K10" s="29"/>
    </row>
    <row r="11" spans="1:13" ht="15.75" x14ac:dyDescent="0.25">
      <c r="A11" s="8">
        <v>310</v>
      </c>
      <c r="B11" s="9">
        <v>11353</v>
      </c>
      <c r="C11" s="27">
        <v>2017</v>
      </c>
      <c r="D11" s="8" t="s">
        <v>20</v>
      </c>
      <c r="E11" s="29">
        <v>31.83</v>
      </c>
      <c r="F11" s="29">
        <v>32.78</v>
      </c>
      <c r="G11" s="29">
        <v>33.770000000000003</v>
      </c>
      <c r="H11" s="29">
        <v>34.78</v>
      </c>
      <c r="I11" s="29">
        <v>35.82</v>
      </c>
      <c r="J11" s="29"/>
      <c r="K11" s="29"/>
    </row>
    <row r="12" spans="1:13" ht="15.75" x14ac:dyDescent="0.25">
      <c r="A12" s="8">
        <v>330</v>
      </c>
      <c r="B12" s="9">
        <v>5478</v>
      </c>
      <c r="C12" s="27">
        <v>2018</v>
      </c>
      <c r="D12" s="8" t="s">
        <v>40</v>
      </c>
      <c r="E12" s="29">
        <v>30.09</v>
      </c>
      <c r="F12" s="29">
        <v>30.92</v>
      </c>
      <c r="G12" s="29">
        <v>31.77</v>
      </c>
      <c r="H12" s="29">
        <v>32.64</v>
      </c>
      <c r="I12" s="29"/>
      <c r="J12" s="29"/>
      <c r="K12" s="29"/>
    </row>
    <row r="13" spans="1:13" ht="15.75" x14ac:dyDescent="0.25">
      <c r="A13" s="8">
        <v>450</v>
      </c>
      <c r="B13" s="9">
        <v>12568</v>
      </c>
      <c r="C13" s="27">
        <v>2016</v>
      </c>
      <c r="D13" s="8" t="s">
        <v>41</v>
      </c>
      <c r="E13" s="29">
        <v>30.92</v>
      </c>
      <c r="F13" s="29">
        <v>31.77</v>
      </c>
      <c r="G13" s="29">
        <v>32.65</v>
      </c>
      <c r="H13" s="29"/>
      <c r="I13" s="29"/>
      <c r="J13" s="29"/>
      <c r="K13" s="29"/>
    </row>
    <row r="14" spans="1:13" ht="15.75" x14ac:dyDescent="0.25">
      <c r="A14" s="8">
        <v>420</v>
      </c>
      <c r="B14" s="9">
        <v>13428</v>
      </c>
      <c r="C14" s="27">
        <v>2018</v>
      </c>
      <c r="D14" s="8" t="s">
        <v>21</v>
      </c>
      <c r="E14" s="29">
        <v>31.67</v>
      </c>
      <c r="F14" s="29">
        <v>32.54</v>
      </c>
      <c r="G14" s="29">
        <v>33.44</v>
      </c>
      <c r="H14" s="29">
        <v>34.36</v>
      </c>
      <c r="I14" s="29">
        <v>35.299999999999997</v>
      </c>
      <c r="J14" s="29"/>
      <c r="K14" s="29"/>
    </row>
    <row r="15" spans="1:13" ht="15.75" x14ac:dyDescent="0.25">
      <c r="A15" s="8"/>
      <c r="B15" s="9"/>
      <c r="C15" s="27"/>
      <c r="D15" s="8"/>
      <c r="E15" s="29"/>
      <c r="F15" s="29"/>
      <c r="G15" s="29"/>
      <c r="H15" s="29"/>
      <c r="I15" s="29"/>
      <c r="J15" s="29"/>
      <c r="K15" s="29"/>
    </row>
    <row r="16" spans="1:13" ht="15.75" x14ac:dyDescent="0.25">
      <c r="A16" s="8"/>
      <c r="B16" s="9"/>
      <c r="C16" s="27"/>
      <c r="D16" s="8"/>
      <c r="E16" s="29"/>
      <c r="F16" s="29"/>
      <c r="G16" s="29"/>
      <c r="H16" s="29"/>
      <c r="I16" s="29"/>
      <c r="J16" s="29"/>
      <c r="K16" s="29"/>
    </row>
    <row r="17" spans="1:13" ht="15.75" x14ac:dyDescent="0.25">
      <c r="A17" s="8"/>
      <c r="B17" s="32"/>
      <c r="C17" s="27"/>
      <c r="D17" s="28"/>
      <c r="E17" s="33"/>
      <c r="F17" s="33"/>
      <c r="G17" s="33"/>
      <c r="H17" s="33"/>
      <c r="I17" s="33"/>
      <c r="J17" s="29"/>
      <c r="K17" s="33"/>
      <c r="L17" s="34"/>
      <c r="M17" s="34"/>
    </row>
    <row r="18" spans="1:13" ht="15.75" x14ac:dyDescent="0.25">
      <c r="A18" s="8"/>
      <c r="B18" s="26"/>
      <c r="C18" s="27"/>
      <c r="D18" s="28"/>
      <c r="E18" s="29"/>
      <c r="F18" s="29"/>
      <c r="G18" s="29"/>
      <c r="H18" s="33"/>
      <c r="I18" s="29"/>
      <c r="J18" s="29"/>
      <c r="K18" s="29"/>
    </row>
    <row r="19" spans="1:13" ht="15.75" x14ac:dyDescent="0.25">
      <c r="A19" s="8"/>
      <c r="B19" s="26"/>
      <c r="C19" s="27"/>
      <c r="D19" s="28"/>
      <c r="E19" s="29"/>
      <c r="F19" s="29"/>
      <c r="G19" s="29"/>
      <c r="H19" s="29"/>
      <c r="I19" s="29"/>
      <c r="J19" s="29"/>
      <c r="K19" s="29"/>
    </row>
    <row r="20" spans="1:13" ht="15.75" x14ac:dyDescent="0.25">
      <c r="A20" s="8"/>
      <c r="B20" s="26"/>
      <c r="C20" s="27"/>
      <c r="D20" s="28"/>
      <c r="E20" s="29"/>
      <c r="F20" s="29"/>
      <c r="G20" s="29"/>
      <c r="H20" s="33"/>
      <c r="I20" s="29"/>
      <c r="J20" s="29"/>
      <c r="K20" s="29"/>
    </row>
    <row r="21" spans="1:13" ht="15.75" x14ac:dyDescent="0.25">
      <c r="A21" s="8"/>
      <c r="B21" s="26"/>
      <c r="C21" s="27"/>
      <c r="D21" s="8"/>
      <c r="E21" s="29"/>
      <c r="F21" s="29"/>
      <c r="G21" s="29"/>
      <c r="H21" s="29"/>
      <c r="I21" s="29"/>
      <c r="J21" s="29"/>
      <c r="K21" s="29"/>
      <c r="L21" s="30"/>
    </row>
    <row r="22" spans="1:13" ht="15.75" x14ac:dyDescent="0.25">
      <c r="A22" s="8"/>
      <c r="B22" s="35"/>
      <c r="C22" s="27"/>
      <c r="D22" s="8"/>
      <c r="E22" s="29"/>
      <c r="F22" s="29"/>
      <c r="G22" s="29"/>
      <c r="H22" s="29"/>
      <c r="I22" s="29"/>
      <c r="J22" s="29"/>
      <c r="K22" s="29"/>
    </row>
  </sheetData>
  <mergeCells count="2">
    <mergeCell ref="A1:B1"/>
    <mergeCell ref="C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 Roll</vt:lpstr>
      <vt:lpstr>Rents Extended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Eliot</dc:creator>
  <cp:keywords/>
  <dc:description/>
  <cp:lastModifiedBy>Doug Eliot</cp:lastModifiedBy>
  <cp:revision/>
  <dcterms:created xsi:type="dcterms:W3CDTF">2017-05-09T17:11:03Z</dcterms:created>
  <dcterms:modified xsi:type="dcterms:W3CDTF">2026-06-17T14:05:00Z</dcterms:modified>
  <cp:category/>
  <cp:contentStatus/>
</cp:coreProperties>
</file>